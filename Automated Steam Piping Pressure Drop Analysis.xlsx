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dhan\OneDrive\Desktop\"/>
    </mc:Choice>
  </mc:AlternateContent>
  <xr:revisionPtr revIDLastSave="0" documentId="13_ncr:1_{F9BBA81F-8CDB-4FB3-BDDA-4D91A13CF0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CULATIONS" sheetId="4" r:id="rId1"/>
    <sheet name="SET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4" l="1"/>
  <c r="R2" i="4"/>
  <c r="K23" i="4"/>
  <c r="K22" i="4"/>
  <c r="K21" i="4"/>
  <c r="K20" i="4"/>
  <c r="K16" i="4"/>
  <c r="K4" i="4"/>
  <c r="E2" i="4"/>
  <c r="F2" i="4"/>
  <c r="G2" i="4"/>
  <c r="E24" i="4"/>
  <c r="F24" i="4"/>
  <c r="G24" i="4"/>
  <c r="O24" i="4" s="1"/>
  <c r="K24" i="4"/>
  <c r="E23" i="4"/>
  <c r="F23" i="4"/>
  <c r="G23" i="4"/>
  <c r="O23" i="4" s="1"/>
  <c r="E22" i="4"/>
  <c r="F22" i="4"/>
  <c r="G22" i="4"/>
  <c r="O22" i="4" s="1"/>
  <c r="H22" i="4"/>
  <c r="N22" i="4" s="1"/>
  <c r="E21" i="4"/>
  <c r="F21" i="4"/>
  <c r="G21" i="4"/>
  <c r="O21" i="4" s="1"/>
  <c r="O12" i="4"/>
  <c r="O5" i="4"/>
  <c r="O6" i="4"/>
  <c r="O7" i="4"/>
  <c r="G20" i="4"/>
  <c r="F20" i="4"/>
  <c r="H20" i="4" s="1"/>
  <c r="E20" i="4"/>
  <c r="N17" i="4"/>
  <c r="H7" i="4"/>
  <c r="G8" i="4"/>
  <c r="G9" i="4"/>
  <c r="O9" i="4" s="1"/>
  <c r="G10" i="4"/>
  <c r="G11" i="4"/>
  <c r="O11" i="4" s="1"/>
  <c r="G12" i="4"/>
  <c r="G13" i="4"/>
  <c r="O13" i="4" s="1"/>
  <c r="G14" i="4"/>
  <c r="O14" i="4" s="1"/>
  <c r="G15" i="4"/>
  <c r="O15" i="4" s="1"/>
  <c r="G16" i="4"/>
  <c r="G17" i="4"/>
  <c r="O17" i="4" s="1"/>
  <c r="G18" i="4"/>
  <c r="G19" i="4"/>
  <c r="F8" i="4"/>
  <c r="H8" i="4" s="1"/>
  <c r="F9" i="4"/>
  <c r="H9" i="4" s="1"/>
  <c r="F10" i="4"/>
  <c r="H10" i="4" s="1"/>
  <c r="F11" i="4"/>
  <c r="H11" i="4" s="1"/>
  <c r="F12" i="4"/>
  <c r="H12" i="4" s="1"/>
  <c r="F13" i="4"/>
  <c r="H13" i="4" s="1"/>
  <c r="F14" i="4"/>
  <c r="H14" i="4" s="1"/>
  <c r="F15" i="4"/>
  <c r="H15" i="4" s="1"/>
  <c r="F16" i="4"/>
  <c r="H16" i="4" s="1"/>
  <c r="F17" i="4"/>
  <c r="H17" i="4" s="1"/>
  <c r="F18" i="4"/>
  <c r="H18" i="4" s="1"/>
  <c r="F19" i="4"/>
  <c r="H19" i="4" s="1"/>
  <c r="E8" i="4"/>
  <c r="E9" i="4"/>
  <c r="E10" i="4"/>
  <c r="E11" i="4"/>
  <c r="E12" i="4"/>
  <c r="E13" i="4"/>
  <c r="E14" i="4"/>
  <c r="E15" i="4"/>
  <c r="E16" i="4"/>
  <c r="E17" i="4"/>
  <c r="E18" i="4"/>
  <c r="E19" i="4"/>
  <c r="G5" i="4"/>
  <c r="G6" i="4"/>
  <c r="G7" i="4"/>
  <c r="N7" i="4" s="1"/>
  <c r="G4" i="4"/>
  <c r="O4" i="4" s="1"/>
  <c r="F4" i="4"/>
  <c r="H4" i="4" s="1"/>
  <c r="I4" i="4" s="1"/>
  <c r="J4" i="4" s="1"/>
  <c r="M4" i="4" s="1"/>
  <c r="F5" i="4"/>
  <c r="H5" i="4" s="1"/>
  <c r="I5" i="4" s="1"/>
  <c r="J5" i="4" s="1"/>
  <c r="M5" i="4" s="1"/>
  <c r="F6" i="4"/>
  <c r="H6" i="4" s="1"/>
  <c r="F7" i="4"/>
  <c r="E4" i="4"/>
  <c r="E5" i="4"/>
  <c r="E6" i="4"/>
  <c r="E7" i="4"/>
  <c r="G3" i="4"/>
  <c r="O3" i="4" s="1"/>
  <c r="E3" i="4"/>
  <c r="D27" i="2"/>
  <c r="B14" i="2"/>
  <c r="B15" i="2" s="1"/>
  <c r="B8" i="2"/>
  <c r="B6" i="2"/>
  <c r="F3" i="4" s="1"/>
  <c r="H3" i="4" s="1"/>
  <c r="H2" i="4" l="1"/>
  <c r="I2" i="4"/>
  <c r="J2" i="4" s="1"/>
  <c r="M2" i="4" s="1"/>
  <c r="N12" i="4"/>
  <c r="I10" i="4"/>
  <c r="J10" i="4" s="1"/>
  <c r="M10" i="4" s="1"/>
  <c r="N9" i="4"/>
  <c r="I9" i="4"/>
  <c r="J9" i="4" s="1"/>
  <c r="M9" i="4" s="1"/>
  <c r="N5" i="4"/>
  <c r="P5" i="4" s="1"/>
  <c r="Q5" i="4" s="1"/>
  <c r="N8" i="4"/>
  <c r="P8" i="4" s="1"/>
  <c r="Q8" i="4" s="1"/>
  <c r="I19" i="4"/>
  <c r="J19" i="4" s="1"/>
  <c r="M19" i="4" s="1"/>
  <c r="P19" i="4" s="1"/>
  <c r="Q19" i="4" s="1"/>
  <c r="I18" i="4"/>
  <c r="J18" i="4" s="1"/>
  <c r="M18" i="4" s="1"/>
  <c r="I16" i="4"/>
  <c r="J16" i="4" s="1"/>
  <c r="M16" i="4" s="1"/>
  <c r="N6" i="4"/>
  <c r="P6" i="4" s="1"/>
  <c r="Q6" i="4" s="1"/>
  <c r="I6" i="4"/>
  <c r="J6" i="4" s="1"/>
  <c r="M6" i="4" s="1"/>
  <c r="N20" i="4"/>
  <c r="I17" i="4"/>
  <c r="J17" i="4" s="1"/>
  <c r="M17" i="4" s="1"/>
  <c r="P17" i="4" s="1"/>
  <c r="Q17" i="4" s="1"/>
  <c r="N19" i="4"/>
  <c r="O20" i="4"/>
  <c r="O8" i="4"/>
  <c r="O19" i="4"/>
  <c r="I8" i="4"/>
  <c r="J8" i="4" s="1"/>
  <c r="M8" i="4" s="1"/>
  <c r="O10" i="4"/>
  <c r="N18" i="4"/>
  <c r="I15" i="4"/>
  <c r="J15" i="4" s="1"/>
  <c r="M15" i="4" s="1"/>
  <c r="P15" i="4" s="1"/>
  <c r="Q15" i="4" s="1"/>
  <c r="O18" i="4"/>
  <c r="O2" i="4"/>
  <c r="N2" i="4"/>
  <c r="N11" i="4"/>
  <c r="P11" i="4" s="1"/>
  <c r="Q11" i="4" s="1"/>
  <c r="I14" i="4"/>
  <c r="J14" i="4" s="1"/>
  <c r="M14" i="4" s="1"/>
  <c r="N16" i="4"/>
  <c r="P16" i="4" s="1"/>
  <c r="Q16" i="4" s="1"/>
  <c r="I13" i="4"/>
  <c r="J13" i="4" s="1"/>
  <c r="M13" i="4" s="1"/>
  <c r="N15" i="4"/>
  <c r="I20" i="4"/>
  <c r="J20" i="4" s="1"/>
  <c r="M20" i="4" s="1"/>
  <c r="P20" i="4" s="1"/>
  <c r="Q20" i="4" s="1"/>
  <c r="O16" i="4"/>
  <c r="H23" i="4"/>
  <c r="I23" i="4" s="1"/>
  <c r="J23" i="4" s="1"/>
  <c r="M23" i="4" s="1"/>
  <c r="I12" i="4"/>
  <c r="J12" i="4" s="1"/>
  <c r="M12" i="4" s="1"/>
  <c r="P12" i="4" s="1"/>
  <c r="Q12" i="4" s="1"/>
  <c r="N14" i="4"/>
  <c r="H21" i="4"/>
  <c r="I11" i="4"/>
  <c r="J11" i="4" s="1"/>
  <c r="M11" i="4" s="1"/>
  <c r="N13" i="4"/>
  <c r="P13" i="4" s="1"/>
  <c r="Q13" i="4" s="1"/>
  <c r="N10" i="4"/>
  <c r="P10" i="4" s="1"/>
  <c r="Q10" i="4" s="1"/>
  <c r="I7" i="4"/>
  <c r="J7" i="4" s="1"/>
  <c r="M7" i="4" s="1"/>
  <c r="P7" i="4" s="1"/>
  <c r="Q7" i="4" s="1"/>
  <c r="N4" i="4"/>
  <c r="P4" i="4" s="1"/>
  <c r="Q4" i="4" s="1"/>
  <c r="P9" i="4"/>
  <c r="Q9" i="4" s="1"/>
  <c r="I21" i="4"/>
  <c r="J21" i="4" s="1"/>
  <c r="M21" i="4" s="1"/>
  <c r="N21" i="4"/>
  <c r="H24" i="4"/>
  <c r="I24" i="4" s="1"/>
  <c r="J24" i="4" s="1"/>
  <c r="M24" i="4" s="1"/>
  <c r="I22" i="4"/>
  <c r="J22" i="4" s="1"/>
  <c r="M22" i="4" s="1"/>
  <c r="P22" i="4" s="1"/>
  <c r="Q22" i="4" s="1"/>
  <c r="I3" i="4"/>
  <c r="J3" i="4" s="1"/>
  <c r="M3" i="4" s="1"/>
  <c r="N3" i="4"/>
  <c r="P21" i="4" l="1"/>
  <c r="Q21" i="4" s="1"/>
  <c r="P14" i="4"/>
  <c r="Q14" i="4" s="1"/>
  <c r="P18" i="4"/>
  <c r="Q18" i="4" s="1"/>
  <c r="P2" i="4"/>
  <c r="Q2" i="4" s="1"/>
  <c r="S2" i="4" s="1"/>
  <c r="N24" i="4"/>
  <c r="N23" i="4"/>
  <c r="P23" i="4" s="1"/>
  <c r="Q23" i="4" s="1"/>
  <c r="P24" i="4"/>
  <c r="Q24" i="4" s="1"/>
  <c r="P3" i="4"/>
  <c r="Q3" i="4" s="1"/>
  <c r="S3" i="4" s="1"/>
  <c r="R4" i="4" s="1"/>
  <c r="S4" i="4" l="1"/>
  <c r="R5" i="4" l="1"/>
  <c r="S5" i="4" s="1"/>
  <c r="R6" i="4" l="1"/>
  <c r="S6" i="4" s="1"/>
  <c r="R7" i="4" l="1"/>
  <c r="S7" i="4" s="1"/>
  <c r="R8" i="4" l="1"/>
  <c r="S8" i="4" s="1"/>
  <c r="R9" i="4" l="1"/>
  <c r="S9" i="4" s="1"/>
  <c r="R10" i="4" l="1"/>
  <c r="S10" i="4" s="1"/>
  <c r="R11" i="4" l="1"/>
  <c r="S11" i="4" s="1"/>
  <c r="R12" i="4" l="1"/>
  <c r="S12" i="4" s="1"/>
  <c r="R13" i="4" l="1"/>
  <c r="S13" i="4" s="1"/>
  <c r="R14" i="4" l="1"/>
  <c r="S14" i="4" s="1"/>
  <c r="R15" i="4" l="1"/>
  <c r="S15" i="4" s="1"/>
  <c r="R16" i="4" l="1"/>
  <c r="S16" i="4" s="1"/>
  <c r="R17" i="4" l="1"/>
  <c r="S17" i="4" s="1"/>
  <c r="R18" i="4" l="1"/>
  <c r="S18" i="4" s="1"/>
  <c r="R19" i="4" l="1"/>
  <c r="S19" i="4" s="1"/>
  <c r="R20" i="4" l="1"/>
  <c r="S20" i="4" s="1"/>
  <c r="R21" i="4" l="1"/>
  <c r="S21" i="4" s="1"/>
  <c r="R22" i="4" l="1"/>
  <c r="S22" i="4" s="1"/>
  <c r="R23" i="4" l="1"/>
  <c r="S23" i="4" s="1"/>
  <c r="R24" i="4" l="1"/>
  <c r="S24" i="4" s="1"/>
  <c r="C21" i="2"/>
</calcChain>
</file>

<file path=xl/sharedStrings.xml><?xml version="1.0" encoding="utf-8"?>
<sst xmlns="http://schemas.openxmlformats.org/spreadsheetml/2006/main" count="89" uniqueCount="76">
  <si>
    <t>Segment</t>
  </si>
  <si>
    <t>Reynolds No.</t>
  </si>
  <si>
    <t>Parameter</t>
  </si>
  <si>
    <t>Value</t>
  </si>
  <si>
    <t>Unit</t>
  </si>
  <si>
    <t>Start pressure</t>
  </si>
  <si>
    <t>kg/cm²</t>
  </si>
  <si>
    <t>Temperature</t>
  </si>
  <si>
    <t>°C</t>
  </si>
  <si>
    <t>Mass flow</t>
  </si>
  <si>
    <t>tph</t>
  </si>
  <si>
    <t>Kg/s</t>
  </si>
  <si>
    <t>Atmospheric Pressure</t>
  </si>
  <si>
    <t>bar</t>
  </si>
  <si>
    <t>Gravity</t>
  </si>
  <si>
    <t>m/s²</t>
  </si>
  <si>
    <t>Steam Properties</t>
  </si>
  <si>
    <t>Main pipe OD</t>
  </si>
  <si>
    <t>mm</t>
  </si>
  <si>
    <t>Wall Thickness</t>
  </si>
  <si>
    <t>Main pipe ID</t>
  </si>
  <si>
    <t>Pipe Roughness</t>
  </si>
  <si>
    <t>Steam density</t>
  </si>
  <si>
    <t>kg/m³</t>
  </si>
  <si>
    <t>Steam velocity</t>
  </si>
  <si>
    <t>pa.s</t>
  </si>
  <si>
    <t>Fitting Settings</t>
  </si>
  <si>
    <t>Component</t>
  </si>
  <si>
    <t>Count</t>
  </si>
  <si>
    <t>K per item</t>
  </si>
  <si>
    <t>Total K</t>
  </si>
  <si>
    <t>90° elbow</t>
  </si>
  <si>
    <t>Gate valve</t>
  </si>
  <si>
    <t>Globe valve</t>
  </si>
  <si>
    <t>Tee-through</t>
  </si>
  <si>
    <t>Tee-branch</t>
  </si>
  <si>
    <t>Reducer</t>
  </si>
  <si>
    <t>Friction Factor</t>
  </si>
  <si>
    <t>Length(m)</t>
  </si>
  <si>
    <t>OD(mm)</t>
  </si>
  <si>
    <t>Thickness(mm)</t>
  </si>
  <si>
    <t>Mass Flow (Kg/s)</t>
  </si>
  <si>
    <t>Density (kg/m³)</t>
  </si>
  <si>
    <t>Velocity (m/s)</t>
  </si>
  <si>
    <t>Elevation Change (m)</t>
  </si>
  <si>
    <t>Major Loss (pa)</t>
  </si>
  <si>
    <t>Minor Loss (pa)</t>
  </si>
  <si>
    <t>Segment Pressure Loss (bar)</t>
  </si>
  <si>
    <t>Elevation Loss (pa)</t>
  </si>
  <si>
    <t>Segment Pressure Loss (pa)</t>
  </si>
  <si>
    <t>Inlet Pressure (bar)</t>
  </si>
  <si>
    <t>Outlet Pressure (bar)</t>
  </si>
  <si>
    <t>S1</t>
  </si>
  <si>
    <t>S2</t>
  </si>
  <si>
    <t>S3</t>
  </si>
  <si>
    <t>S4</t>
  </si>
  <si>
    <t>S5</t>
  </si>
  <si>
    <t>ID (m)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</si>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</sst>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388D1-F1EE-4EA3-A352-04BE18F70578}" name="Table1" displayName="Table1" ref="A1:S24" totalsRowShown="0" headerRowDxfId="20" dataDxfId="19">
  <autoFilter ref="A1:S24" xr:uid="{A08388D1-F1EE-4EA3-A352-04BE18F70578}"/>
  <tableColumns count="19">
    <tableColumn id="1" xr3:uid="{669BD18D-E896-4B9B-85D0-C7E5714AE3F4}" name="Segment" dataDxfId="18"/>
    <tableColumn id="2" xr3:uid="{62BC647A-07B5-4132-BC01-4B45B0F6154D}" name="Length(m)" dataDxfId="17"/>
    <tableColumn id="3" xr3:uid="{FA1383C4-ABD2-414A-BAF2-A981DDB38B0F}" name="OD(mm)" dataDxfId="16"/>
    <tableColumn id="4" xr3:uid="{FEAC3F45-D139-4006-B626-6CDE8E001550}" name="Thickness(mm)" dataDxfId="15"/>
    <tableColumn id="5" xr3:uid="{96CC0801-8DC3-4D5A-AA6C-1D641BD62606}" name="ID (m)" dataDxfId="14">
      <calculatedColumnFormula>(C2-2*D2)/1000</calculatedColumnFormula>
    </tableColumn>
    <tableColumn id="6" xr3:uid="{3AD0DF62-3921-4C5C-82FF-040B39808BC8}" name="Mass Flow (Kg/s)" dataDxfId="13">
      <calculatedColumnFormula>SETTINGS!$B$6</calculatedColumnFormula>
    </tableColumn>
    <tableColumn id="7" xr3:uid="{5DE56201-F6CE-43F8-ADBB-D3ADA8C63D8E}" name="Density (kg/m³)" dataDxfId="12">
      <calculatedColumnFormula>SETTINGS!$B$17</calculatedColumnFormula>
    </tableColumn>
    <tableColumn id="8" xr3:uid="{0BD6A583-1730-4CAF-AB81-59D1F4C7E850}" name="Velocity (m/s)" dataDxfId="11">
      <calculatedColumnFormula>4*F2/(G2*PI()*E2^2)</calculatedColumnFormula>
    </tableColumn>
    <tableColumn id="9" xr3:uid="{B4C60E94-77D7-402B-8620-369439AB7945}" name="Reynolds No." dataDxfId="10">
      <calculatedColumnFormula>G2*H2*E2/SETTINGS!$B$18</calculatedColumnFormula>
    </tableColumn>
    <tableColumn id="10" xr3:uid="{040912C7-7211-4BC9-9B52-C89392BA137E}" name="Friction Factor" dataDxfId="9">
      <calculatedColumnFormula>IF(I2&lt;2300,64/I2,0.25/(LOG10(SETTINGS!$B$16/(3.7*E2)+5.74/(I2^0.9))^2))</calculatedColumnFormula>
    </tableColumn>
    <tableColumn id="11" xr3:uid="{0AE04D82-BC37-4F27-915E-BC786EDD57D3}" name="Total K" dataDxfId="8">
      <calculatedColumnFormula>0</calculatedColumnFormula>
    </tableColumn>
    <tableColumn id="12" xr3:uid="{8B1F0109-9A2C-41C4-BBE2-9FBF2499434F}" name="Elevation Change (m)" dataDxfId="7"/>
    <tableColumn id="13" xr3:uid="{453153DC-C51D-45A0-B822-275BC977C538}" name="Major Loss (pa)" dataDxfId="6">
      <calculatedColumnFormula>J2*(B2/E2)*(G2*H2^2/2)</calculatedColumnFormula>
    </tableColumn>
    <tableColumn id="14" xr3:uid="{871B1F09-7A8B-4B76-9418-9864186CCE04}" name="Minor Loss (pa)" dataDxfId="5">
      <calculatedColumnFormula>K2*(G2*H2^2/2)</calculatedColumnFormula>
    </tableColumn>
    <tableColumn id="15" xr3:uid="{1FC859B0-E241-46ED-883D-03E8638C1D5C}" name="Elevation Loss (pa)" dataDxfId="4">
      <calculatedColumnFormula>G2*SETTINGS!$B$9*L2</calculatedColumnFormula>
    </tableColumn>
    <tableColumn id="16" xr3:uid="{301CA365-D9F2-4485-BAB5-EF38E488EE8C}" name="Segment Pressure Loss (pa)" dataDxfId="3">
      <calculatedColumnFormula>M2+N2+O2</calculatedColumnFormula>
    </tableColumn>
    <tableColumn id="17" xr3:uid="{F28E5E49-09D7-4209-9EBF-DE4A647F626F}" name="Segment Pressure Loss (bar)" dataDxfId="2">
      <calculatedColumnFormula>P2/100000</calculatedColumnFormula>
    </tableColumn>
    <tableColumn id="18" xr3:uid="{61A58E7D-035E-4EA0-AB02-D54BDCEC35FC}" name="Inlet Pressure (bar)" dataDxfId="1">
      <calculatedColumnFormula>S1</calculatedColumnFormula>
    </tableColumn>
    <tableColumn id="19" xr3:uid="{560DD698-8F7C-4A9B-BF2E-BB56AD2D2385}" name="Outlet Pressure (bar)" dataDxfId="0">
      <calculatedColumnFormula>R2-Q2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0E4E-4EE5-4CED-A8E5-2EF50557977E}">
  <dimension ref="A1:S27"/>
  <sheetViews>
    <sheetView tabSelected="1" topLeftCell="B1" zoomScale="75" zoomScaleNormal="75" workbookViewId="0">
      <selection activeCell="U12" sqref="U12"/>
    </sheetView>
  </sheetViews>
  <sheetFormatPr defaultRowHeight="14.4" x14ac:dyDescent="0.3"/>
  <cols>
    <col min="1" max="1" width="10.6640625" customWidth="1"/>
    <col min="2" max="2" width="11.88671875" customWidth="1"/>
    <col min="3" max="3" width="10.109375" customWidth="1"/>
    <col min="4" max="4" width="16" customWidth="1"/>
    <col min="5" max="5" width="8.109375" customWidth="1"/>
    <col min="6" max="6" width="17.6640625" customWidth="1"/>
    <col min="7" max="7" width="16.5546875" customWidth="1"/>
    <col min="8" max="8" width="15" customWidth="1"/>
    <col min="9" max="9" width="14.6640625" customWidth="1"/>
    <col min="10" max="10" width="15.44140625" customWidth="1"/>
    <col min="11" max="11" width="10" bestFit="1" customWidth="1"/>
    <col min="12" max="12" width="21.33203125" customWidth="1"/>
    <col min="13" max="14" width="16.44140625" customWidth="1"/>
    <col min="15" max="15" width="19.21875" customWidth="1"/>
    <col min="16" max="16" width="26.77734375" customWidth="1"/>
    <col min="17" max="17" width="27.5546875" customWidth="1"/>
    <col min="18" max="18" width="19.5546875" customWidth="1"/>
    <col min="19" max="19" width="21" customWidth="1"/>
  </cols>
  <sheetData>
    <row r="1" spans="1:19" x14ac:dyDescent="0.3">
      <c r="A1" s="1" t="s">
        <v>0</v>
      </c>
      <c r="B1" s="1" t="s">
        <v>38</v>
      </c>
      <c r="C1" s="1" t="s">
        <v>39</v>
      </c>
      <c r="D1" s="1" t="s">
        <v>40</v>
      </c>
      <c r="E1" s="1" t="s">
        <v>57</v>
      </c>
      <c r="F1" s="1" t="s">
        <v>41</v>
      </c>
      <c r="G1" s="1" t="s">
        <v>42</v>
      </c>
      <c r="H1" s="1" t="s">
        <v>43</v>
      </c>
      <c r="I1" s="1" t="s">
        <v>1</v>
      </c>
      <c r="J1" s="1" t="s">
        <v>37</v>
      </c>
      <c r="K1" s="1" t="s">
        <v>30</v>
      </c>
      <c r="L1" s="1" t="s">
        <v>44</v>
      </c>
      <c r="M1" s="1" t="s">
        <v>45</v>
      </c>
      <c r="N1" s="1" t="s">
        <v>46</v>
      </c>
      <c r="O1" s="1" t="s">
        <v>48</v>
      </c>
      <c r="P1" s="1" t="s">
        <v>49</v>
      </c>
      <c r="Q1" s="1" t="s">
        <v>47</v>
      </c>
      <c r="R1" s="1" t="s">
        <v>50</v>
      </c>
      <c r="S1" s="1" t="s">
        <v>51</v>
      </c>
    </row>
    <row r="2" spans="1:19" x14ac:dyDescent="0.3">
      <c r="A2" s="6" t="s">
        <v>52</v>
      </c>
      <c r="B2" s="7">
        <v>1.3</v>
      </c>
      <c r="C2" s="2">
        <v>219.1</v>
      </c>
      <c r="D2" s="2">
        <v>6.35</v>
      </c>
      <c r="E2" s="8">
        <f>(C2-2*D2)/1000</f>
        <v>0.2064</v>
      </c>
      <c r="F2" s="8">
        <f>SETTINGS!$B$6</f>
        <v>1.3888888888888888</v>
      </c>
      <c r="G2" s="8">
        <f>SETTINGS!$B$17</f>
        <v>4.4000000000000004</v>
      </c>
      <c r="H2" s="8">
        <f>4*F2/(G2*PI()*E2^2)</f>
        <v>9.4342104485258229</v>
      </c>
      <c r="I2" s="8">
        <f>G2*H2*E2/SETTINGS!$B$18</f>
        <v>428388.62804666057</v>
      </c>
      <c r="J2" s="8">
        <f>IF(I2&lt;2300,64/I2,0.25/(LOG10(SETTINGS!$B$16/(3.7*E2)+5.74/(I2^0.9))^2))</f>
        <v>1.5887246876568343E-2</v>
      </c>
      <c r="K2" s="2">
        <v>0</v>
      </c>
      <c r="L2" s="8">
        <v>0</v>
      </c>
      <c r="M2" s="8">
        <f>J2*(B2/E2)*(G2*H2^2/2)</f>
        <v>19.593684197975577</v>
      </c>
      <c r="N2" s="8">
        <f>K2*(G2*H2^2/2)</f>
        <v>0</v>
      </c>
      <c r="O2" s="8">
        <f>G2*SETTINGS!$B$9*L2</f>
        <v>0</v>
      </c>
      <c r="P2" s="8">
        <f>M2+N2+O2</f>
        <v>19.593684197975577</v>
      </c>
      <c r="Q2" s="8">
        <f>P2/100000</f>
        <v>1.9593684197975576E-4</v>
      </c>
      <c r="R2" s="8">
        <f>SETTINGS!$B$3*0.980665</f>
        <v>10.787315</v>
      </c>
      <c r="S2" s="8">
        <f>R2-Q2</f>
        <v>10.78711906315802</v>
      </c>
    </row>
    <row r="3" spans="1:19" x14ac:dyDescent="0.3">
      <c r="A3" s="5" t="s">
        <v>53</v>
      </c>
      <c r="B3" s="4">
        <v>1.1000000000000001</v>
      </c>
      <c r="C3" s="2">
        <v>219.1</v>
      </c>
      <c r="D3" s="2">
        <v>6.35</v>
      </c>
      <c r="E3" s="2">
        <f>(C3-2*D3)/1000</f>
        <v>0.2064</v>
      </c>
      <c r="F3" s="2">
        <f>SETTINGS!$B$6</f>
        <v>1.3888888888888888</v>
      </c>
      <c r="G3" s="2">
        <f>SETTINGS!$B$17</f>
        <v>4.4000000000000004</v>
      </c>
      <c r="H3" s="2">
        <f>4*F3/(G3*PI()*E3^2)</f>
        <v>9.4342104485258229</v>
      </c>
      <c r="I3" s="2">
        <f>G3*H3*E3/SETTINGS!$B$18</f>
        <v>428388.62804666057</v>
      </c>
      <c r="J3" s="2">
        <f>IF(I3&lt;2300,64/I3,0.25/(LOG10(SETTINGS!$B$16/(3.7*E3)+5.74/(I3^0.9))^2))</f>
        <v>1.5887246876568343E-2</v>
      </c>
      <c r="K3" s="2">
        <v>0.3</v>
      </c>
      <c r="L3" s="2">
        <v>0</v>
      </c>
      <c r="M3" s="2">
        <f>J3*(B3/E3)*(G3*H3^2/2)</f>
        <v>16.579271244440871</v>
      </c>
      <c r="N3" s="2">
        <f>K3*(G3*H3^2/2)</f>
        <v>58.742855679468718</v>
      </c>
      <c r="O3" s="2">
        <f>G3*SETTINGS!$B$9*L3</f>
        <v>0</v>
      </c>
      <c r="P3" s="2">
        <f>M3+N3+O3</f>
        <v>75.322126923909593</v>
      </c>
      <c r="Q3" s="2">
        <f>P3/100000</f>
        <v>7.5322126923909596E-4</v>
      </c>
      <c r="R3" s="2">
        <f>S2</f>
        <v>10.78711906315802</v>
      </c>
      <c r="S3" s="2">
        <f>R3-Q3</f>
        <v>10.786365841888781</v>
      </c>
    </row>
    <row r="4" spans="1:19" x14ac:dyDescent="0.3">
      <c r="A4" s="5" t="s">
        <v>54</v>
      </c>
      <c r="B4" s="4">
        <v>2</v>
      </c>
      <c r="C4" s="2">
        <v>219.1</v>
      </c>
      <c r="D4" s="2">
        <v>6.35</v>
      </c>
      <c r="E4" s="2">
        <f t="shared" ref="E4:E20" si="0">(C4-2*D4)/1000</f>
        <v>0.2064</v>
      </c>
      <c r="F4" s="2">
        <f>SETTINGS!$B$6</f>
        <v>1.3888888888888888</v>
      </c>
      <c r="G4" s="2">
        <f>SETTINGS!$B$17</f>
        <v>4.4000000000000004</v>
      </c>
      <c r="H4" s="2">
        <f t="shared" ref="H4:H20" si="1">4*F4/(G4*PI()*E4^2)</f>
        <v>9.4342104485258229</v>
      </c>
      <c r="I4" s="2">
        <f>G4*H4*E4/SETTINGS!$B$18</f>
        <v>428388.62804666057</v>
      </c>
      <c r="J4" s="2">
        <f>IF(I4&lt;2300,64/I4,0.25/(LOG10(SETTINGS!$B$16/(3.7*E4)+5.74/(I4^0.9))^2))</f>
        <v>1.5887246876568343E-2</v>
      </c>
      <c r="K4" s="2">
        <f>0</f>
        <v>0</v>
      </c>
      <c r="L4" s="2">
        <v>0</v>
      </c>
      <c r="M4" s="2">
        <f t="shared" ref="M4:M20" si="2">J4*(B4/E4)*(G4*H4^2/2)</f>
        <v>30.144129535347037</v>
      </c>
      <c r="N4" s="2">
        <f t="shared" ref="N4:N6" si="3">K4*(G4*H4^2/2)</f>
        <v>0</v>
      </c>
      <c r="O4" s="2">
        <f>G4*SETTINGS!$B$9*L4</f>
        <v>0</v>
      </c>
      <c r="P4" s="2">
        <f t="shared" ref="P4:P20" si="4">M4+N4+O4</f>
        <v>30.144129535347037</v>
      </c>
      <c r="Q4" s="2">
        <f t="shared" ref="Q4:Q20" si="5">P4/100000</f>
        <v>3.0144129535347036E-4</v>
      </c>
      <c r="R4" s="2">
        <f>S3</f>
        <v>10.786365841888781</v>
      </c>
      <c r="S4" s="2">
        <f>R4-Q4</f>
        <v>10.786064400593428</v>
      </c>
    </row>
    <row r="5" spans="1:19" x14ac:dyDescent="0.3">
      <c r="A5" s="5" t="s">
        <v>55</v>
      </c>
      <c r="B5" s="4">
        <v>3</v>
      </c>
      <c r="C5" s="2">
        <v>219.1</v>
      </c>
      <c r="D5" s="2">
        <v>6.35</v>
      </c>
      <c r="E5" s="2">
        <f t="shared" si="0"/>
        <v>0.2064</v>
      </c>
      <c r="F5" s="2">
        <f>SETTINGS!$B$6</f>
        <v>1.3888888888888888</v>
      </c>
      <c r="G5" s="2">
        <f>SETTINGS!$B$17</f>
        <v>4.4000000000000004</v>
      </c>
      <c r="H5" s="2">
        <f t="shared" si="1"/>
        <v>9.4342104485258229</v>
      </c>
      <c r="I5" s="2">
        <f>G5*H5*E5/SETTINGS!$B$18</f>
        <v>428388.62804666057</v>
      </c>
      <c r="J5" s="2">
        <f>IF(I5&lt;2300,64/I5,0.25/(LOG10(SETTINGS!$B$16/(3.7*E5)+5.74/(I5^0.9))^2))</f>
        <v>1.5887246876568343E-2</v>
      </c>
      <c r="K5" s="2">
        <v>0.6</v>
      </c>
      <c r="L5" s="2">
        <v>0</v>
      </c>
      <c r="M5" s="2">
        <f t="shared" si="2"/>
        <v>45.216194303020558</v>
      </c>
      <c r="N5" s="2">
        <f t="shared" si="3"/>
        <v>117.48571135893744</v>
      </c>
      <c r="O5" s="2">
        <f>G5*SETTINGS!$B$9*L5</f>
        <v>0</v>
      </c>
      <c r="P5" s="2">
        <f t="shared" si="4"/>
        <v>162.70190566195799</v>
      </c>
      <c r="Q5" s="2">
        <f t="shared" si="5"/>
        <v>1.6270190566195798E-3</v>
      </c>
      <c r="R5" s="2">
        <f>S4</f>
        <v>10.786064400593428</v>
      </c>
      <c r="S5" s="2">
        <f t="shared" ref="S5:S20" si="6">R5-Q5</f>
        <v>10.784437381536808</v>
      </c>
    </row>
    <row r="6" spans="1:19" x14ac:dyDescent="0.3">
      <c r="A6" s="5" t="s">
        <v>56</v>
      </c>
      <c r="B6" s="4">
        <v>5</v>
      </c>
      <c r="C6" s="2">
        <v>219.1</v>
      </c>
      <c r="D6" s="2">
        <v>6.35</v>
      </c>
      <c r="E6" s="2">
        <f t="shared" si="0"/>
        <v>0.2064</v>
      </c>
      <c r="F6" s="2">
        <f>SETTINGS!$B$6</f>
        <v>1.3888888888888888</v>
      </c>
      <c r="G6" s="2">
        <f>SETTINGS!$B$17</f>
        <v>4.4000000000000004</v>
      </c>
      <c r="H6" s="2">
        <f t="shared" si="1"/>
        <v>9.4342104485258229</v>
      </c>
      <c r="I6" s="2">
        <f>G6*H6*E6/SETTINGS!$B$18</f>
        <v>428388.62804666057</v>
      </c>
      <c r="J6" s="2">
        <f>IF(I6&lt;2300,64/I6,0.25/(LOG10(SETTINGS!$B$16/(3.7*E6)+5.74/(I6^0.9))^2))</f>
        <v>1.5887246876568343E-2</v>
      </c>
      <c r="K6" s="2">
        <v>0.15</v>
      </c>
      <c r="L6" s="2">
        <v>0</v>
      </c>
      <c r="M6" s="2">
        <f t="shared" si="2"/>
        <v>75.360323838367592</v>
      </c>
      <c r="N6" s="2">
        <f t="shared" si="3"/>
        <v>29.371427839734359</v>
      </c>
      <c r="O6" s="2">
        <f>G6*SETTINGS!$B$9*L6</f>
        <v>0</v>
      </c>
      <c r="P6" s="2">
        <f t="shared" si="4"/>
        <v>104.73175167810194</v>
      </c>
      <c r="Q6" s="2">
        <f t="shared" si="5"/>
        <v>1.0473175167810195E-3</v>
      </c>
      <c r="R6" s="2">
        <f t="shared" ref="R6:R20" si="7">S5</f>
        <v>10.784437381536808</v>
      </c>
      <c r="S6" s="2">
        <f t="shared" si="6"/>
        <v>10.783390064020027</v>
      </c>
    </row>
    <row r="7" spans="1:19" x14ac:dyDescent="0.3">
      <c r="A7" s="5" t="s">
        <v>58</v>
      </c>
      <c r="B7" s="4">
        <v>5</v>
      </c>
      <c r="C7" s="2">
        <v>219.1</v>
      </c>
      <c r="D7" s="2">
        <v>6.35</v>
      </c>
      <c r="E7" s="2">
        <f t="shared" si="0"/>
        <v>0.2064</v>
      </c>
      <c r="F7" s="2">
        <f>SETTINGS!$B$6</f>
        <v>1.3888888888888888</v>
      </c>
      <c r="G7" s="2">
        <f>SETTINGS!$B$17</f>
        <v>4.4000000000000004</v>
      </c>
      <c r="H7" s="2">
        <f t="shared" si="1"/>
        <v>9.4342104485258229</v>
      </c>
      <c r="I7" s="2">
        <f>G7*H7*E7/SETTINGS!$B$18</f>
        <v>428388.62804666057</v>
      </c>
      <c r="J7" s="2">
        <f>IF(I7&lt;2300,64/I7,0.25/(LOG10(SETTINGS!$B$16/(3.7*E7)+5.74/(I7^0.9))^2))</f>
        <v>1.5887246876568343E-2</v>
      </c>
      <c r="K7" s="2">
        <v>0.55000000000000004</v>
      </c>
      <c r="L7" s="2">
        <v>0</v>
      </c>
      <c r="M7" s="2">
        <f t="shared" si="2"/>
        <v>75.360323838367592</v>
      </c>
      <c r="N7" s="2">
        <f>K7*(G7*H7^2/2)</f>
        <v>107.69523541235932</v>
      </c>
      <c r="O7" s="2">
        <f>G7*SETTINGS!$B$9*L7</f>
        <v>0</v>
      </c>
      <c r="P7" s="2">
        <f t="shared" si="4"/>
        <v>183.0555592507269</v>
      </c>
      <c r="Q7" s="2">
        <f t="shared" si="5"/>
        <v>1.8305555925072689E-3</v>
      </c>
      <c r="R7" s="2">
        <f t="shared" si="7"/>
        <v>10.783390064020027</v>
      </c>
      <c r="S7" s="2">
        <f t="shared" si="6"/>
        <v>10.78155950842752</v>
      </c>
    </row>
    <row r="8" spans="1:19" x14ac:dyDescent="0.3">
      <c r="A8" s="5" t="s">
        <v>59</v>
      </c>
      <c r="B8" s="4">
        <v>4</v>
      </c>
      <c r="C8" s="2">
        <v>219.1</v>
      </c>
      <c r="D8" s="2">
        <v>6.35</v>
      </c>
      <c r="E8" s="2">
        <f t="shared" si="0"/>
        <v>0.2064</v>
      </c>
      <c r="F8" s="2">
        <f>SETTINGS!$B$6</f>
        <v>1.3888888888888888</v>
      </c>
      <c r="G8" s="2">
        <f>SETTINGS!$B$17</f>
        <v>4.4000000000000004</v>
      </c>
      <c r="H8" s="2">
        <f t="shared" si="1"/>
        <v>9.4342104485258229</v>
      </c>
      <c r="I8" s="2">
        <f>G8*H8*E8/SETTINGS!$B$18</f>
        <v>428388.62804666057</v>
      </c>
      <c r="J8" s="2">
        <f>IF(I8&lt;2300,64/I8,0.25/(LOG10(SETTINGS!$B$16/(3.7*E8)+5.74/(I8^0.9))^2))</f>
        <v>1.5887246876568343E-2</v>
      </c>
      <c r="K8" s="2">
        <v>0.3</v>
      </c>
      <c r="L8" s="2">
        <v>0</v>
      </c>
      <c r="M8" s="2">
        <f t="shared" si="2"/>
        <v>60.288259070694075</v>
      </c>
      <c r="N8" s="2">
        <f t="shared" ref="N8:N20" si="8">K8*(G8*H8^2/2)</f>
        <v>58.742855679468718</v>
      </c>
      <c r="O8" s="2">
        <f>G8*SETTINGS!$B$9*L8</f>
        <v>0</v>
      </c>
      <c r="P8" s="2">
        <f t="shared" si="4"/>
        <v>119.0311147501628</v>
      </c>
      <c r="Q8" s="2">
        <f t="shared" si="5"/>
        <v>1.190311147501628E-3</v>
      </c>
      <c r="R8" s="2">
        <f t="shared" si="7"/>
        <v>10.78155950842752</v>
      </c>
      <c r="S8" s="2">
        <f t="shared" si="6"/>
        <v>10.780369197280018</v>
      </c>
    </row>
    <row r="9" spans="1:19" x14ac:dyDescent="0.3">
      <c r="A9" s="5" t="s">
        <v>60</v>
      </c>
      <c r="B9" s="4">
        <v>3.06</v>
      </c>
      <c r="C9" s="2">
        <v>219.1</v>
      </c>
      <c r="D9" s="2">
        <v>6.35</v>
      </c>
      <c r="E9" s="2">
        <f t="shared" si="0"/>
        <v>0.2064</v>
      </c>
      <c r="F9" s="2">
        <f>SETTINGS!$B$6</f>
        <v>1.3888888888888888</v>
      </c>
      <c r="G9" s="2">
        <f>SETTINGS!$B$17</f>
        <v>4.4000000000000004</v>
      </c>
      <c r="H9" s="2">
        <f t="shared" si="1"/>
        <v>9.4342104485258229</v>
      </c>
      <c r="I9" s="2">
        <f>G9*H9*E9/SETTINGS!$B$18</f>
        <v>428388.62804666057</v>
      </c>
      <c r="J9" s="2">
        <f>IF(I9&lt;2300,64/I9,0.25/(LOG10(SETTINGS!$B$16/(3.7*E9)+5.74/(I9^0.9))^2))</f>
        <v>1.5887246876568343E-2</v>
      </c>
      <c r="K9" s="2">
        <v>0.3</v>
      </c>
      <c r="L9" s="2">
        <v>0</v>
      </c>
      <c r="M9" s="2">
        <f t="shared" si="2"/>
        <v>46.120518189080975</v>
      </c>
      <c r="N9" s="2">
        <f t="shared" si="8"/>
        <v>58.742855679468718</v>
      </c>
      <c r="O9" s="2">
        <f>G9*SETTINGS!$B$9*L9</f>
        <v>0</v>
      </c>
      <c r="P9" s="2">
        <f t="shared" si="4"/>
        <v>104.8633738685497</v>
      </c>
      <c r="Q9" s="2">
        <f t="shared" si="5"/>
        <v>1.0486337386854971E-3</v>
      </c>
      <c r="R9" s="2">
        <f t="shared" si="7"/>
        <v>10.780369197280018</v>
      </c>
      <c r="S9" s="2">
        <f t="shared" si="6"/>
        <v>10.779320563541333</v>
      </c>
    </row>
    <row r="10" spans="1:19" x14ac:dyDescent="0.3">
      <c r="A10" s="5" t="s">
        <v>61</v>
      </c>
      <c r="B10" s="4">
        <v>5</v>
      </c>
      <c r="C10" s="2">
        <v>219.1</v>
      </c>
      <c r="D10" s="2">
        <v>6.35</v>
      </c>
      <c r="E10" s="2">
        <f t="shared" si="0"/>
        <v>0.2064</v>
      </c>
      <c r="F10" s="2">
        <f>SETTINGS!$B$6</f>
        <v>1.3888888888888888</v>
      </c>
      <c r="G10" s="2">
        <f>SETTINGS!$B$17</f>
        <v>4.4000000000000004</v>
      </c>
      <c r="H10" s="2">
        <f t="shared" si="1"/>
        <v>9.4342104485258229</v>
      </c>
      <c r="I10" s="2">
        <f>G10*H10*E10/SETTINGS!$B$18</f>
        <v>428388.62804666057</v>
      </c>
      <c r="J10" s="2">
        <f>IF(I10&lt;2300,64/I10,0.25/(LOG10(SETTINGS!$B$16/(3.7*E10)+5.74/(I10^0.9))^2))</f>
        <v>1.5887246876568343E-2</v>
      </c>
      <c r="K10" s="2">
        <v>0.4</v>
      </c>
      <c r="L10" s="2">
        <v>0</v>
      </c>
      <c r="M10" s="2">
        <f t="shared" si="2"/>
        <v>75.360323838367592</v>
      </c>
      <c r="N10" s="2">
        <f t="shared" si="8"/>
        <v>78.323807572624958</v>
      </c>
      <c r="O10" s="2">
        <f>G10*SETTINGS!$B$9*L10</f>
        <v>0</v>
      </c>
      <c r="P10" s="2">
        <f t="shared" si="4"/>
        <v>153.68413141099256</v>
      </c>
      <c r="Q10" s="2">
        <f t="shared" si="5"/>
        <v>1.5368413141099257E-3</v>
      </c>
      <c r="R10" s="2">
        <f t="shared" si="7"/>
        <v>10.779320563541333</v>
      </c>
      <c r="S10" s="2">
        <f t="shared" si="6"/>
        <v>10.777783722227223</v>
      </c>
    </row>
    <row r="11" spans="1:19" x14ac:dyDescent="0.3">
      <c r="A11" s="5" t="s">
        <v>62</v>
      </c>
      <c r="B11" s="4">
        <v>4.5</v>
      </c>
      <c r="C11" s="2">
        <v>219.1</v>
      </c>
      <c r="D11" s="2">
        <v>6.35</v>
      </c>
      <c r="E11" s="2">
        <f t="shared" si="0"/>
        <v>0.2064</v>
      </c>
      <c r="F11" s="2">
        <f>SETTINGS!$B$6</f>
        <v>1.3888888888888888</v>
      </c>
      <c r="G11" s="2">
        <f>SETTINGS!$B$17</f>
        <v>4.4000000000000004</v>
      </c>
      <c r="H11" s="2">
        <f t="shared" si="1"/>
        <v>9.4342104485258229</v>
      </c>
      <c r="I11" s="2">
        <f>G11*H11*E11/SETTINGS!$B$18</f>
        <v>428388.62804666057</v>
      </c>
      <c r="J11" s="2">
        <f>IF(I11&lt;2300,64/I11,0.25/(LOG10(SETTINGS!$B$16/(3.7*E11)+5.74/(I11^0.9))^2))</f>
        <v>1.5887246876568343E-2</v>
      </c>
      <c r="K11" s="2">
        <v>1.1000000000000001</v>
      </c>
      <c r="L11" s="2">
        <v>0</v>
      </c>
      <c r="M11" s="2">
        <f t="shared" si="2"/>
        <v>67.824291454530837</v>
      </c>
      <c r="N11" s="2">
        <f t="shared" si="8"/>
        <v>215.39047082471865</v>
      </c>
      <c r="O11" s="2">
        <f>G11*SETTINGS!$B$9*L11</f>
        <v>0</v>
      </c>
      <c r="P11" s="2">
        <f t="shared" si="4"/>
        <v>283.2147622792495</v>
      </c>
      <c r="Q11" s="2">
        <f t="shared" si="5"/>
        <v>2.8321476227924948E-3</v>
      </c>
      <c r="R11" s="2">
        <f t="shared" si="7"/>
        <v>10.777783722227223</v>
      </c>
      <c r="S11" s="2">
        <f t="shared" si="6"/>
        <v>10.774951574604431</v>
      </c>
    </row>
    <row r="12" spans="1:19" x14ac:dyDescent="0.3">
      <c r="A12" s="5" t="s">
        <v>63</v>
      </c>
      <c r="B12" s="4">
        <v>1.1000000000000001</v>
      </c>
      <c r="C12" s="2">
        <v>219.1</v>
      </c>
      <c r="D12" s="2">
        <v>6.35</v>
      </c>
      <c r="E12" s="2">
        <f t="shared" si="0"/>
        <v>0.2064</v>
      </c>
      <c r="F12" s="2">
        <f>SETTINGS!$B$6</f>
        <v>1.3888888888888888</v>
      </c>
      <c r="G12" s="2">
        <f>SETTINGS!$B$17</f>
        <v>4.4000000000000004</v>
      </c>
      <c r="H12" s="2">
        <f t="shared" si="1"/>
        <v>9.4342104485258229</v>
      </c>
      <c r="I12" s="2">
        <f>G12*H12*E12/SETTINGS!$B$18</f>
        <v>428388.62804666057</v>
      </c>
      <c r="J12" s="2">
        <f>IF(I12&lt;2300,64/I12,0.25/(LOG10(SETTINGS!$B$16/(3.7*E12)+5.74/(I12^0.9))^2))</f>
        <v>1.5887246876568343E-2</v>
      </c>
      <c r="K12" s="2">
        <v>0.3</v>
      </c>
      <c r="L12" s="2">
        <v>0</v>
      </c>
      <c r="M12" s="2">
        <f t="shared" si="2"/>
        <v>16.579271244440871</v>
      </c>
      <c r="N12" s="2">
        <f t="shared" si="8"/>
        <v>58.742855679468718</v>
      </c>
      <c r="O12" s="2">
        <f>G12*SETTINGS!$B$9*L12</f>
        <v>0</v>
      </c>
      <c r="P12" s="2">
        <f t="shared" si="4"/>
        <v>75.322126923909593</v>
      </c>
      <c r="Q12" s="2">
        <f t="shared" si="5"/>
        <v>7.5322126923909596E-4</v>
      </c>
      <c r="R12" s="2">
        <f t="shared" si="7"/>
        <v>10.774951574604431</v>
      </c>
      <c r="S12" s="2">
        <f t="shared" si="6"/>
        <v>10.774198353335192</v>
      </c>
    </row>
    <row r="13" spans="1:19" x14ac:dyDescent="0.3">
      <c r="A13" s="5" t="s">
        <v>64</v>
      </c>
      <c r="B13" s="4">
        <v>3.6</v>
      </c>
      <c r="C13" s="2">
        <v>219.1</v>
      </c>
      <c r="D13" s="2">
        <v>6.35</v>
      </c>
      <c r="E13" s="2">
        <f t="shared" si="0"/>
        <v>0.2064</v>
      </c>
      <c r="F13" s="2">
        <f>SETTINGS!$B$6</f>
        <v>1.3888888888888888</v>
      </c>
      <c r="G13" s="2">
        <f>SETTINGS!$B$17</f>
        <v>4.4000000000000004</v>
      </c>
      <c r="H13" s="2">
        <f t="shared" si="1"/>
        <v>9.4342104485258229</v>
      </c>
      <c r="I13" s="2">
        <f>G13*H13*E13/SETTINGS!$B$18</f>
        <v>428388.62804666057</v>
      </c>
      <c r="J13" s="2">
        <f>IF(I13&lt;2300,64/I13,0.25/(LOG10(SETTINGS!$B$16/(3.7*E13)+5.74/(I13^0.9))^2))</f>
        <v>1.5887246876568343E-2</v>
      </c>
      <c r="K13" s="2">
        <v>0.15</v>
      </c>
      <c r="L13" s="2">
        <v>0</v>
      </c>
      <c r="M13" s="2">
        <f t="shared" si="2"/>
        <v>54.259433163624671</v>
      </c>
      <c r="N13" s="2">
        <f t="shared" si="8"/>
        <v>29.371427839734359</v>
      </c>
      <c r="O13" s="2">
        <f>G13*SETTINGS!$B$9*L13</f>
        <v>0</v>
      </c>
      <c r="P13" s="2">
        <f t="shared" si="4"/>
        <v>83.63086100335903</v>
      </c>
      <c r="Q13" s="2">
        <f t="shared" si="5"/>
        <v>8.3630861003359028E-4</v>
      </c>
      <c r="R13" s="2">
        <f t="shared" si="7"/>
        <v>10.774198353335192</v>
      </c>
      <c r="S13" s="2">
        <f t="shared" si="6"/>
        <v>10.773362044725159</v>
      </c>
    </row>
    <row r="14" spans="1:19" x14ac:dyDescent="0.3">
      <c r="A14" s="5" t="s">
        <v>65</v>
      </c>
      <c r="B14" s="4">
        <v>3.4</v>
      </c>
      <c r="C14" s="2">
        <v>219.1</v>
      </c>
      <c r="D14" s="2">
        <v>6.35</v>
      </c>
      <c r="E14" s="2">
        <f t="shared" si="0"/>
        <v>0.2064</v>
      </c>
      <c r="F14" s="2">
        <f>SETTINGS!$B$6</f>
        <v>1.3888888888888888</v>
      </c>
      <c r="G14" s="2">
        <f>SETTINGS!$B$17</f>
        <v>4.4000000000000004</v>
      </c>
      <c r="H14" s="2">
        <f t="shared" si="1"/>
        <v>9.4342104485258229</v>
      </c>
      <c r="I14" s="2">
        <f>G14*H14*E14/SETTINGS!$B$18</f>
        <v>428388.62804666057</v>
      </c>
      <c r="J14" s="2">
        <f>IF(I14&lt;2300,64/I14,0.25/(LOG10(SETTINGS!$B$16/(3.7*E14)+5.74/(I14^0.9))^2))</f>
        <v>1.5887246876568343E-2</v>
      </c>
      <c r="K14" s="2">
        <v>0.6</v>
      </c>
      <c r="L14" s="2">
        <v>0</v>
      </c>
      <c r="M14" s="2">
        <f t="shared" si="2"/>
        <v>51.245020210089969</v>
      </c>
      <c r="N14" s="2">
        <f t="shared" si="8"/>
        <v>117.48571135893744</v>
      </c>
      <c r="O14" s="2">
        <f>G14*SETTINGS!$B$9*L14</f>
        <v>0</v>
      </c>
      <c r="P14" s="2">
        <f t="shared" si="4"/>
        <v>168.7307315690274</v>
      </c>
      <c r="Q14" s="2">
        <f t="shared" si="5"/>
        <v>1.6873073156902739E-3</v>
      </c>
      <c r="R14" s="2">
        <f t="shared" si="7"/>
        <v>10.773362044725159</v>
      </c>
      <c r="S14" s="2">
        <f t="shared" si="6"/>
        <v>10.771674737409469</v>
      </c>
    </row>
    <row r="15" spans="1:19" x14ac:dyDescent="0.3">
      <c r="A15" s="5" t="s">
        <v>66</v>
      </c>
      <c r="B15" s="4">
        <v>3.6</v>
      </c>
      <c r="C15" s="2">
        <v>219.1</v>
      </c>
      <c r="D15" s="2">
        <v>6.35</v>
      </c>
      <c r="E15" s="2">
        <f t="shared" si="0"/>
        <v>0.2064</v>
      </c>
      <c r="F15" s="2">
        <f>SETTINGS!$B$6</f>
        <v>1.3888888888888888</v>
      </c>
      <c r="G15" s="2">
        <f>SETTINGS!$B$17</f>
        <v>4.4000000000000004</v>
      </c>
      <c r="H15" s="2">
        <f t="shared" si="1"/>
        <v>9.4342104485258229</v>
      </c>
      <c r="I15" s="2">
        <f>G15*H15*E15/SETTINGS!$B$18</f>
        <v>428388.62804666057</v>
      </c>
      <c r="J15" s="2">
        <f>IF(I15&lt;2300,64/I15,0.25/(LOG10(SETTINGS!$B$16/(3.7*E15)+5.74/(I15^0.9))^2))</f>
        <v>1.5887246876568343E-2</v>
      </c>
      <c r="K15" s="2">
        <v>0.55000000000000004</v>
      </c>
      <c r="L15" s="2">
        <v>0</v>
      </c>
      <c r="M15" s="2">
        <f t="shared" si="2"/>
        <v>54.259433163624671</v>
      </c>
      <c r="N15" s="2">
        <f t="shared" si="8"/>
        <v>107.69523541235932</v>
      </c>
      <c r="O15" s="2">
        <f>G15*SETTINGS!$B$9*L15</f>
        <v>0</v>
      </c>
      <c r="P15" s="2">
        <f t="shared" si="4"/>
        <v>161.95466857598399</v>
      </c>
      <c r="Q15" s="2">
        <f t="shared" si="5"/>
        <v>1.6195466857598399E-3</v>
      </c>
      <c r="R15" s="2">
        <f t="shared" si="7"/>
        <v>10.771674737409469</v>
      </c>
      <c r="S15" s="2">
        <f t="shared" si="6"/>
        <v>10.77005519072371</v>
      </c>
    </row>
    <row r="16" spans="1:19" x14ac:dyDescent="0.3">
      <c r="A16" s="5" t="s">
        <v>67</v>
      </c>
      <c r="B16" s="4">
        <v>1.1499999999999999</v>
      </c>
      <c r="C16" s="2">
        <v>219.1</v>
      </c>
      <c r="D16" s="2">
        <v>6.35</v>
      </c>
      <c r="E16" s="2">
        <f t="shared" si="0"/>
        <v>0.2064</v>
      </c>
      <c r="F16" s="2">
        <f>SETTINGS!$B$6</f>
        <v>1.3888888888888888</v>
      </c>
      <c r="G16" s="2">
        <f>SETTINGS!$B$17</f>
        <v>4.4000000000000004</v>
      </c>
      <c r="H16" s="2">
        <f t="shared" si="1"/>
        <v>9.4342104485258229</v>
      </c>
      <c r="I16" s="2">
        <f>G16*H16*E16/SETTINGS!$B$18</f>
        <v>428388.62804666057</v>
      </c>
      <c r="J16" s="2">
        <f>IF(I16&lt;2300,64/I16,0.25/(LOG10(SETTINGS!$B$16/(3.7*E16)+5.74/(I16^0.9))^2))</f>
        <v>1.5887246876568343E-2</v>
      </c>
      <c r="K16" s="2">
        <f>0</f>
        <v>0</v>
      </c>
      <c r="L16" s="2">
        <v>0</v>
      </c>
      <c r="M16" s="2">
        <f t="shared" si="2"/>
        <v>17.332874482824547</v>
      </c>
      <c r="N16" s="2">
        <f t="shared" si="8"/>
        <v>0</v>
      </c>
      <c r="O16" s="2">
        <f>G16*SETTINGS!$B$9*L16</f>
        <v>0</v>
      </c>
      <c r="P16" s="2">
        <f t="shared" si="4"/>
        <v>17.332874482824547</v>
      </c>
      <c r="Q16" s="2">
        <f t="shared" si="5"/>
        <v>1.7332874482824546E-4</v>
      </c>
      <c r="R16" s="2">
        <f t="shared" si="7"/>
        <v>10.77005519072371</v>
      </c>
      <c r="S16" s="2">
        <f t="shared" si="6"/>
        <v>10.769881861978881</v>
      </c>
    </row>
    <row r="17" spans="1:19" x14ac:dyDescent="0.3">
      <c r="A17" s="5" t="s">
        <v>68</v>
      </c>
      <c r="B17" s="4">
        <v>5</v>
      </c>
      <c r="C17" s="2">
        <v>219.1</v>
      </c>
      <c r="D17" s="2">
        <v>6.35</v>
      </c>
      <c r="E17" s="2">
        <f t="shared" si="0"/>
        <v>0.2064</v>
      </c>
      <c r="F17" s="2">
        <f>SETTINGS!$B$6</f>
        <v>1.3888888888888888</v>
      </c>
      <c r="G17" s="2">
        <f>SETTINGS!$B$17</f>
        <v>4.4000000000000004</v>
      </c>
      <c r="H17" s="2">
        <f t="shared" si="1"/>
        <v>9.4342104485258229</v>
      </c>
      <c r="I17" s="2">
        <f>G17*H17*E17/SETTINGS!$B$18</f>
        <v>428388.62804666057</v>
      </c>
      <c r="J17" s="2">
        <f>IF(I17&lt;2300,64/I17,0.25/(LOG10(SETTINGS!$B$16/(3.7*E17)+5.74/(I17^0.9))^2))</f>
        <v>1.5887246876568343E-2</v>
      </c>
      <c r="K17" s="2">
        <v>0.3</v>
      </c>
      <c r="L17" s="2">
        <v>0</v>
      </c>
      <c r="M17" s="2">
        <f t="shared" si="2"/>
        <v>75.360323838367592</v>
      </c>
      <c r="N17" s="2">
        <f t="shared" si="8"/>
        <v>58.742855679468718</v>
      </c>
      <c r="O17" s="2">
        <f>G17*SETTINGS!$B$9*L17</f>
        <v>0</v>
      </c>
      <c r="P17" s="2">
        <f t="shared" si="4"/>
        <v>134.10317951783631</v>
      </c>
      <c r="Q17" s="2">
        <f t="shared" si="5"/>
        <v>1.3410317951783632E-3</v>
      </c>
      <c r="R17" s="2">
        <f t="shared" si="7"/>
        <v>10.769881861978881</v>
      </c>
      <c r="S17" s="2">
        <f t="shared" si="6"/>
        <v>10.768540830183703</v>
      </c>
    </row>
    <row r="18" spans="1:19" x14ac:dyDescent="0.3">
      <c r="A18" s="5" t="s">
        <v>69</v>
      </c>
      <c r="B18" s="4">
        <v>5</v>
      </c>
      <c r="C18" s="2">
        <v>219.1</v>
      </c>
      <c r="D18" s="2">
        <v>6.35</v>
      </c>
      <c r="E18" s="2">
        <f t="shared" si="0"/>
        <v>0.2064</v>
      </c>
      <c r="F18" s="2">
        <f>SETTINGS!$B$6</f>
        <v>1.3888888888888888</v>
      </c>
      <c r="G18" s="2">
        <f>SETTINGS!$B$17</f>
        <v>4.4000000000000004</v>
      </c>
      <c r="H18" s="2">
        <f t="shared" si="1"/>
        <v>9.4342104485258229</v>
      </c>
      <c r="I18" s="2">
        <f>G18*H18*E18/SETTINGS!$B$18</f>
        <v>428388.62804666057</v>
      </c>
      <c r="J18" s="2">
        <f>IF(I18&lt;2300,64/I18,0.25/(LOG10(SETTINGS!$B$16/(3.7*E18)+5.74/(I18^0.9))^2))</f>
        <v>1.5887246876568343E-2</v>
      </c>
      <c r="K18" s="2">
        <v>0.4</v>
      </c>
      <c r="L18" s="2">
        <v>0</v>
      </c>
      <c r="M18" s="2">
        <f t="shared" si="2"/>
        <v>75.360323838367592</v>
      </c>
      <c r="N18" s="2">
        <f t="shared" si="8"/>
        <v>78.323807572624958</v>
      </c>
      <c r="O18" s="2">
        <f>G18*SETTINGS!$B$9*L18</f>
        <v>0</v>
      </c>
      <c r="P18" s="2">
        <f t="shared" si="4"/>
        <v>153.68413141099256</v>
      </c>
      <c r="Q18" s="2">
        <f t="shared" si="5"/>
        <v>1.5368413141099257E-3</v>
      </c>
      <c r="R18" s="2">
        <f t="shared" si="7"/>
        <v>10.768540830183703</v>
      </c>
      <c r="S18" s="2">
        <f t="shared" si="6"/>
        <v>10.767003988869593</v>
      </c>
    </row>
    <row r="19" spans="1:19" x14ac:dyDescent="0.3">
      <c r="A19" s="5" t="s">
        <v>70</v>
      </c>
      <c r="B19" s="4">
        <v>5</v>
      </c>
      <c r="C19" s="2">
        <v>219.1</v>
      </c>
      <c r="D19" s="2">
        <v>6.35</v>
      </c>
      <c r="E19" s="2">
        <f t="shared" si="0"/>
        <v>0.2064</v>
      </c>
      <c r="F19" s="2">
        <f>SETTINGS!$B$6</f>
        <v>1.3888888888888888</v>
      </c>
      <c r="G19" s="2">
        <f>SETTINGS!$B$17</f>
        <v>4.4000000000000004</v>
      </c>
      <c r="H19" s="2">
        <f t="shared" si="1"/>
        <v>9.4342104485258229</v>
      </c>
      <c r="I19" s="2">
        <f>G19*H19*E19/SETTINGS!$B$18</f>
        <v>428388.62804666057</v>
      </c>
      <c r="J19" s="2">
        <f>IF(I19&lt;2300,64/I19,0.25/(LOG10(SETTINGS!$B$16/(3.7*E19)+5.74/(I19^0.9))^2))</f>
        <v>1.5887246876568343E-2</v>
      </c>
      <c r="K19" s="2">
        <v>0.15</v>
      </c>
      <c r="L19" s="2">
        <v>0</v>
      </c>
      <c r="M19" s="2">
        <f t="shared" si="2"/>
        <v>75.360323838367592</v>
      </c>
      <c r="N19" s="2">
        <f t="shared" si="8"/>
        <v>29.371427839734359</v>
      </c>
      <c r="O19" s="2">
        <f>G19*SETTINGS!$B$9*L19</f>
        <v>0</v>
      </c>
      <c r="P19" s="2">
        <f t="shared" si="4"/>
        <v>104.73175167810194</v>
      </c>
      <c r="Q19" s="2">
        <f t="shared" si="5"/>
        <v>1.0473175167810195E-3</v>
      </c>
      <c r="R19" s="2">
        <f t="shared" si="7"/>
        <v>10.767003988869593</v>
      </c>
      <c r="S19" s="2">
        <f t="shared" si="6"/>
        <v>10.765956671352813</v>
      </c>
    </row>
    <row r="20" spans="1:19" x14ac:dyDescent="0.3">
      <c r="A20" s="5" t="s">
        <v>71</v>
      </c>
      <c r="B20" s="4">
        <v>3.5</v>
      </c>
      <c r="C20" s="2">
        <v>219.1</v>
      </c>
      <c r="D20" s="2">
        <v>6.35</v>
      </c>
      <c r="E20" s="2">
        <f t="shared" si="0"/>
        <v>0.2064</v>
      </c>
      <c r="F20" s="2">
        <f>SETTINGS!$B$6</f>
        <v>1.3888888888888888</v>
      </c>
      <c r="G20" s="2">
        <f>SETTINGS!$B$17</f>
        <v>4.4000000000000004</v>
      </c>
      <c r="H20" s="2">
        <f t="shared" si="1"/>
        <v>9.4342104485258229</v>
      </c>
      <c r="I20" s="2">
        <f>G20*H20*E20/SETTINGS!$B$18</f>
        <v>428388.62804666057</v>
      </c>
      <c r="J20" s="2">
        <f>IF(I20&lt;2300,64/I20,0.25/(LOG10(SETTINGS!$B$16/(3.7*E20)+5.74/(I20^0.9))^2))</f>
        <v>1.5887246876568343E-2</v>
      </c>
      <c r="K20" s="2">
        <f>0</f>
        <v>0</v>
      </c>
      <c r="L20" s="2">
        <v>0</v>
      </c>
      <c r="M20" s="2">
        <f t="shared" si="2"/>
        <v>52.752226686857313</v>
      </c>
      <c r="N20" s="2">
        <f t="shared" si="8"/>
        <v>0</v>
      </c>
      <c r="O20" s="2">
        <f>G20*SETTINGS!$B$9*L20</f>
        <v>0</v>
      </c>
      <c r="P20" s="2">
        <f t="shared" si="4"/>
        <v>52.752226686857313</v>
      </c>
      <c r="Q20" s="2">
        <f t="shared" si="5"/>
        <v>5.2752226686857313E-4</v>
      </c>
      <c r="R20" s="2">
        <f t="shared" si="7"/>
        <v>10.765956671352813</v>
      </c>
      <c r="S20" s="2">
        <f t="shared" si="6"/>
        <v>10.765429149085945</v>
      </c>
    </row>
    <row r="21" spans="1:19" x14ac:dyDescent="0.3">
      <c r="A21" s="5" t="s">
        <v>72</v>
      </c>
      <c r="B21" s="4">
        <v>1</v>
      </c>
      <c r="C21" s="2">
        <v>219.1</v>
      </c>
      <c r="D21" s="2">
        <v>6.35</v>
      </c>
      <c r="E21" s="2">
        <f>(C21-2*D21)/1000</f>
        <v>0.2064</v>
      </c>
      <c r="F21" s="2">
        <f>SETTINGS!$B$6</f>
        <v>1.3888888888888888</v>
      </c>
      <c r="G21" s="2">
        <f>SETTINGS!$B$17</f>
        <v>4.4000000000000004</v>
      </c>
      <c r="H21" s="2">
        <f>4*F21/(G21*PI()*E21^2)</f>
        <v>9.4342104485258229</v>
      </c>
      <c r="I21" s="2">
        <f>G21*H21*E21/SETTINGS!$B$18</f>
        <v>428388.62804666057</v>
      </c>
      <c r="J21" s="2">
        <f>IF(I21&lt;2300,64/I21,0.25/(LOG10(SETTINGS!$B$16/(3.7*E21)+5.74/(I21^0.9))^2))</f>
        <v>1.5887246876568343E-2</v>
      </c>
      <c r="K21" s="2">
        <f>0</f>
        <v>0</v>
      </c>
      <c r="L21" s="2">
        <v>0</v>
      </c>
      <c r="M21" s="2">
        <f>J21*(B21/E21)*(G21*H21^2/2)</f>
        <v>15.072064767673519</v>
      </c>
      <c r="N21" s="2">
        <f>K21*(G21*H21^2/2)</f>
        <v>0</v>
      </c>
      <c r="O21" s="2">
        <f>G21*SETTINGS!$B$9*L21</f>
        <v>0</v>
      </c>
      <c r="P21" s="2">
        <f>M21+N21+O21</f>
        <v>15.072064767673519</v>
      </c>
      <c r="Q21" s="2">
        <f>P21/100000</f>
        <v>1.5072064767673518E-4</v>
      </c>
      <c r="R21" s="2">
        <f>S20</f>
        <v>10.765429149085945</v>
      </c>
      <c r="S21" s="2">
        <f>R21-Q21</f>
        <v>10.765278428438268</v>
      </c>
    </row>
    <row r="22" spans="1:19" x14ac:dyDescent="0.3">
      <c r="A22" s="5" t="s">
        <v>73</v>
      </c>
      <c r="B22" s="4">
        <v>3</v>
      </c>
      <c r="C22" s="2">
        <v>219.1</v>
      </c>
      <c r="D22" s="2">
        <v>6.35</v>
      </c>
      <c r="E22" s="2">
        <f>(C22-2*D22)/1000</f>
        <v>0.2064</v>
      </c>
      <c r="F22" s="2">
        <f>SETTINGS!$B$6</f>
        <v>1.3888888888888888</v>
      </c>
      <c r="G22" s="2">
        <f>SETTINGS!$B$17</f>
        <v>4.4000000000000004</v>
      </c>
      <c r="H22" s="2">
        <f>4*F22/(G22*PI()*E22^2)</f>
        <v>9.4342104485258229</v>
      </c>
      <c r="I22" s="2">
        <f>G22*H22*E22/SETTINGS!$B$18</f>
        <v>428388.62804666057</v>
      </c>
      <c r="J22" s="2">
        <f>IF(I22&lt;2300,64/I22,0.25/(LOG10(SETTINGS!$B$16/(3.7*E22)+5.74/(I22^0.9))^2))</f>
        <v>1.5887246876568343E-2</v>
      </c>
      <c r="K22" s="2">
        <f>0</f>
        <v>0</v>
      </c>
      <c r="L22" s="2">
        <v>0</v>
      </c>
      <c r="M22" s="2">
        <f>J22*(B22/E22)*(G22*H22^2/2)</f>
        <v>45.216194303020558</v>
      </c>
      <c r="N22" s="2">
        <f>K22*(G22*H22^2/2)</f>
        <v>0</v>
      </c>
      <c r="O22" s="2">
        <f>G22*SETTINGS!$B$9*L22</f>
        <v>0</v>
      </c>
      <c r="P22" s="2">
        <f>M22+N22+O22</f>
        <v>45.216194303020558</v>
      </c>
      <c r="Q22" s="2">
        <f>P22/100000</f>
        <v>4.521619430302056E-4</v>
      </c>
      <c r="R22" s="2">
        <f>S21</f>
        <v>10.765278428438268</v>
      </c>
      <c r="S22" s="2">
        <f>R22-Q22</f>
        <v>10.764826266495238</v>
      </c>
    </row>
    <row r="23" spans="1:19" x14ac:dyDescent="0.3">
      <c r="A23" s="5" t="s">
        <v>74</v>
      </c>
      <c r="B23" s="4">
        <v>6</v>
      </c>
      <c r="C23" s="2">
        <v>219.1</v>
      </c>
      <c r="D23" s="2">
        <v>6.35</v>
      </c>
      <c r="E23" s="2">
        <f>(C23-2*D23)/1000</f>
        <v>0.2064</v>
      </c>
      <c r="F23" s="2">
        <f>SETTINGS!$B$6</f>
        <v>1.3888888888888888</v>
      </c>
      <c r="G23" s="2">
        <f>SETTINGS!$B$17</f>
        <v>4.4000000000000004</v>
      </c>
      <c r="H23" s="2">
        <f>4*F23/(G23*PI()*E23^2)</f>
        <v>9.4342104485258229</v>
      </c>
      <c r="I23" s="2">
        <f>G23*H23*E23/SETTINGS!$B$18</f>
        <v>428388.62804666057</v>
      </c>
      <c r="J23" s="2">
        <f>IF(I23&lt;2300,64/I23,0.25/(LOG10(SETTINGS!$B$16/(3.7*E23)+5.74/(I23^0.9))^2))</f>
        <v>1.5887246876568343E-2</v>
      </c>
      <c r="K23" s="2">
        <f>0</f>
        <v>0</v>
      </c>
      <c r="L23" s="2">
        <v>0</v>
      </c>
      <c r="M23" s="2">
        <f>J23*(B23/E23)*(G23*H23^2/2)</f>
        <v>90.432388606041116</v>
      </c>
      <c r="N23" s="2">
        <f>K23*(G23*H23^2/2)</f>
        <v>0</v>
      </c>
      <c r="O23" s="2">
        <f>G23*SETTINGS!$B$9*L23</f>
        <v>0</v>
      </c>
      <c r="P23" s="2">
        <f>M23+N23+O23</f>
        <v>90.432388606041116</v>
      </c>
      <c r="Q23" s="2">
        <f>P23/100000</f>
        <v>9.0432388606041119E-4</v>
      </c>
      <c r="R23" s="2">
        <f>S22</f>
        <v>10.764826266495238</v>
      </c>
      <c r="S23" s="2">
        <f>R23-Q23</f>
        <v>10.763921942609178</v>
      </c>
    </row>
    <row r="24" spans="1:19" x14ac:dyDescent="0.3">
      <c r="A24" s="5" t="s">
        <v>75</v>
      </c>
      <c r="B24" s="4">
        <v>1.95</v>
      </c>
      <c r="C24" s="2">
        <v>219.1</v>
      </c>
      <c r="D24" s="2">
        <v>6.35</v>
      </c>
      <c r="E24" s="2">
        <f>(C24-2*D24)/1000</f>
        <v>0.2064</v>
      </c>
      <c r="F24" s="2">
        <f>SETTINGS!$B$6</f>
        <v>1.3888888888888888</v>
      </c>
      <c r="G24" s="2">
        <f>SETTINGS!$B$17</f>
        <v>4.4000000000000004</v>
      </c>
      <c r="H24" s="2">
        <f>4*F24/(G24*PI()*E24^2)</f>
        <v>9.4342104485258229</v>
      </c>
      <c r="I24" s="2">
        <f>G24*H24*E24/SETTINGS!$B$18</f>
        <v>428388.62804666057</v>
      </c>
      <c r="J24" s="2">
        <f>IF(I24&lt;2300,64/I24,0.25/(LOG10(SETTINGS!$B$16/(3.7*E24)+5.74/(I24^0.9))^2))</f>
        <v>1.5887246876568343E-2</v>
      </c>
      <c r="K24" s="2">
        <f>0</f>
        <v>0</v>
      </c>
      <c r="L24" s="2">
        <v>0</v>
      </c>
      <c r="M24" s="2">
        <f>J24*(B24/E24)*(G24*H24^2/2)</f>
        <v>29.390526296963358</v>
      </c>
      <c r="N24" s="2">
        <f>K24*(G24*H24^2/2)</f>
        <v>0</v>
      </c>
      <c r="O24" s="2">
        <f>G24*SETTINGS!$B$9*L24</f>
        <v>0</v>
      </c>
      <c r="P24" s="2">
        <f>M24+N24+O24</f>
        <v>29.390526296963358</v>
      </c>
      <c r="Q24" s="2">
        <f>P24/100000</f>
        <v>2.939052629696336E-4</v>
      </c>
      <c r="R24" s="2">
        <f>S23</f>
        <v>10.763921942609178</v>
      </c>
      <c r="S24" s="2">
        <f>R24-Q24</f>
        <v>10.763628037346209</v>
      </c>
    </row>
    <row r="25" spans="1:19" x14ac:dyDescent="0.3">
      <c r="A25" s="3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3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3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BE56-069E-4CE2-8681-12207B0D2FF8}">
  <dimension ref="A2:D27"/>
  <sheetViews>
    <sheetView workbookViewId="0">
      <selection activeCell="E8" sqref="E8"/>
    </sheetView>
  </sheetViews>
  <sheetFormatPr defaultRowHeight="14.4" x14ac:dyDescent="0.3"/>
  <cols>
    <col min="1" max="1" width="19.5546875" customWidth="1"/>
    <col min="3" max="3" width="9.77734375" customWidth="1"/>
  </cols>
  <sheetData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t="s">
        <v>5</v>
      </c>
      <c r="B3" s="2">
        <v>11</v>
      </c>
      <c r="C3" t="s">
        <v>6</v>
      </c>
    </row>
    <row r="4" spans="1:3" x14ac:dyDescent="0.3">
      <c r="A4" t="s">
        <v>7</v>
      </c>
      <c r="B4" s="2">
        <v>320</v>
      </c>
      <c r="C4" t="s">
        <v>8</v>
      </c>
    </row>
    <row r="5" spans="1:3" x14ac:dyDescent="0.3">
      <c r="A5" t="s">
        <v>9</v>
      </c>
      <c r="B5" s="2">
        <v>5</v>
      </c>
      <c r="C5" t="s">
        <v>10</v>
      </c>
    </row>
    <row r="6" spans="1:3" x14ac:dyDescent="0.3">
      <c r="A6" t="s">
        <v>9</v>
      </c>
      <c r="B6" s="2">
        <f>B5*1000/3600</f>
        <v>1.3888888888888888</v>
      </c>
      <c r="C6" t="s">
        <v>11</v>
      </c>
    </row>
    <row r="7" spans="1:3" x14ac:dyDescent="0.3">
      <c r="A7" t="s">
        <v>12</v>
      </c>
      <c r="B7" s="2">
        <v>1.01325</v>
      </c>
      <c r="C7" t="s">
        <v>13</v>
      </c>
    </row>
    <row r="8" spans="1:3" x14ac:dyDescent="0.3">
      <c r="A8" t="s">
        <v>5</v>
      </c>
      <c r="B8" s="2">
        <f>B3*0.980665+B7</f>
        <v>11.800564999999999</v>
      </c>
      <c r="C8" t="s">
        <v>13</v>
      </c>
    </row>
    <row r="9" spans="1:3" x14ac:dyDescent="0.3">
      <c r="A9" t="s">
        <v>14</v>
      </c>
      <c r="B9" s="2">
        <v>9.8066499999999994</v>
      </c>
      <c r="C9" t="s">
        <v>15</v>
      </c>
    </row>
    <row r="10" spans="1:3" x14ac:dyDescent="0.3">
      <c r="A10" s="1" t="s">
        <v>16</v>
      </c>
    </row>
    <row r="11" spans="1:3" x14ac:dyDescent="0.3">
      <c r="A11" s="1" t="s">
        <v>2</v>
      </c>
      <c r="B11" s="1" t="s">
        <v>3</v>
      </c>
      <c r="C11" s="1" t="s">
        <v>4</v>
      </c>
    </row>
    <row r="12" spans="1:3" x14ac:dyDescent="0.3">
      <c r="A12" t="s">
        <v>17</v>
      </c>
      <c r="B12" s="2">
        <v>219.1</v>
      </c>
      <c r="C12" t="s">
        <v>18</v>
      </c>
    </row>
    <row r="13" spans="1:3" x14ac:dyDescent="0.3">
      <c r="A13" t="s">
        <v>19</v>
      </c>
      <c r="B13" s="2">
        <v>6.35</v>
      </c>
      <c r="C13" t="s">
        <v>18</v>
      </c>
    </row>
    <row r="14" spans="1:3" x14ac:dyDescent="0.3">
      <c r="A14" t="s">
        <v>20</v>
      </c>
      <c r="B14" s="2">
        <f>B12-2*B13</f>
        <v>206.4</v>
      </c>
      <c r="C14" t="s">
        <v>18</v>
      </c>
    </row>
    <row r="15" spans="1:3" x14ac:dyDescent="0.3">
      <c r="A15" t="s">
        <v>20</v>
      </c>
      <c r="B15" s="2">
        <f>B14/1000</f>
        <v>0.2064</v>
      </c>
      <c r="C15" t="s">
        <v>18</v>
      </c>
    </row>
    <row r="16" spans="1:3" x14ac:dyDescent="0.3">
      <c r="A16" t="s">
        <v>21</v>
      </c>
      <c r="B16" s="2">
        <v>4.5000000000000003E-5</v>
      </c>
      <c r="C16" t="s">
        <v>18</v>
      </c>
    </row>
    <row r="17" spans="1:4" x14ac:dyDescent="0.3">
      <c r="A17" t="s">
        <v>22</v>
      </c>
      <c r="B17" s="2">
        <v>4.4000000000000004</v>
      </c>
      <c r="C17" t="s">
        <v>23</v>
      </c>
    </row>
    <row r="18" spans="1:4" x14ac:dyDescent="0.3">
      <c r="A18" t="s">
        <v>24</v>
      </c>
      <c r="B18" s="2">
        <v>2.0000000000000002E-5</v>
      </c>
      <c r="C18" t="s">
        <v>25</v>
      </c>
    </row>
    <row r="19" spans="1:4" x14ac:dyDescent="0.3">
      <c r="A19" s="1" t="s">
        <v>26</v>
      </c>
    </row>
    <row r="20" spans="1:4" x14ac:dyDescent="0.3">
      <c r="A20" s="1" t="s">
        <v>27</v>
      </c>
      <c r="B20" s="1" t="s">
        <v>28</v>
      </c>
      <c r="C20" s="1" t="s">
        <v>29</v>
      </c>
      <c r="D20" s="1" t="s">
        <v>30</v>
      </c>
    </row>
    <row r="21" spans="1:4" x14ac:dyDescent="0.3">
      <c r="A21" t="s">
        <v>31</v>
      </c>
      <c r="C21">
        <f ca="1">B21*C21</f>
        <v>0</v>
      </c>
    </row>
    <row r="22" spans="1:4" x14ac:dyDescent="0.3">
      <c r="A22" t="s">
        <v>32</v>
      </c>
    </row>
    <row r="23" spans="1:4" x14ac:dyDescent="0.3">
      <c r="A23" t="s">
        <v>33</v>
      </c>
    </row>
    <row r="24" spans="1:4" x14ac:dyDescent="0.3">
      <c r="A24" t="s">
        <v>34</v>
      </c>
    </row>
    <row r="25" spans="1:4" x14ac:dyDescent="0.3">
      <c r="A25" t="s">
        <v>35</v>
      </c>
    </row>
    <row r="26" spans="1:4" x14ac:dyDescent="0.3">
      <c r="A26" t="s">
        <v>36</v>
      </c>
    </row>
    <row r="27" spans="1:4" x14ac:dyDescent="0.3">
      <c r="A27" t="s">
        <v>30</v>
      </c>
      <c r="D27">
        <f>SUM(D21:D26)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dhandugudum</dc:creator>
  <cp:lastModifiedBy>rahul dhandugudum</cp:lastModifiedBy>
  <dcterms:created xsi:type="dcterms:W3CDTF">2015-06-05T18:17:20Z</dcterms:created>
  <dcterms:modified xsi:type="dcterms:W3CDTF">2026-09-01T16:58:26Z</dcterms:modified>
</cp:coreProperties>
</file>